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465" windowWidth="20640" windowHeight="11760"/>
  </bookViews>
  <sheets>
    <sheet name="Devis" sheetId="1" r:id="rId1"/>
    <sheet name="Data" sheetId="2" r:id="rId2"/>
  </sheets>
  <definedNames>
    <definedName name="_xlnm.Print_Titles" localSheetId="0">Devis!$12:$12</definedName>
    <definedName name="Nom_Entreprise">Devis!#REF!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D15" i="1" l="1"/>
  <c r="D19" i="1"/>
  <c r="D20" i="1" l="1"/>
</calcChain>
</file>

<file path=xl/sharedStrings.xml><?xml version="1.0" encoding="utf-8"?>
<sst xmlns="http://schemas.openxmlformats.org/spreadsheetml/2006/main" count="26" uniqueCount="25">
  <si>
    <t>Détails</t>
  </si>
  <si>
    <t>Proposé par Le Libre promeneur</t>
  </si>
  <si>
    <t>113 rue de la Faisanderie 75016 Paris</t>
  </si>
  <si>
    <t>Siret : 90145652500012</t>
  </si>
  <si>
    <t>Tva intra. : FR81901456525</t>
  </si>
  <si>
    <t>Ape : 9329Z</t>
  </si>
  <si>
    <t>Montant</t>
  </si>
  <si>
    <t xml:space="preserve">Total TTC </t>
  </si>
  <si>
    <t>Nous restons à votre disposition si vous avez des questions,</t>
  </si>
  <si>
    <t>Nombre</t>
  </si>
  <si>
    <t>Prix HT</t>
  </si>
  <si>
    <t>Prix unitaire TTC</t>
  </si>
  <si>
    <t xml:space="preserve">TVA de 10% (b nonies de l'article 279 du CGI) </t>
  </si>
  <si>
    <t>Devis  - Escape Game au Sacré-Cœur</t>
  </si>
  <si>
    <t>Devis  - Escape Game dans les rues de Montmartre</t>
  </si>
  <si>
    <t>Devis  - Escape Game au Jardin du Luxembourg</t>
  </si>
  <si>
    <t>Devis  - Escape Game sur l'Île de la Cité</t>
  </si>
  <si>
    <t>Devis  - Escape Game dans les Passages Couverts</t>
  </si>
  <si>
    <t>Remboursement intégral et immédiat si l'activité ne pouvait avoir lieu en raison du Covid.</t>
  </si>
  <si>
    <t>Devis n°</t>
  </si>
  <si>
    <t>À l'attention de :</t>
  </si>
  <si>
    <t>Nombe de participants</t>
  </si>
  <si>
    <t>En date du :</t>
  </si>
  <si>
    <t>Quelqu'un encore</t>
  </si>
  <si>
    <t>une très très longue adresse pour voir si ça passe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</si>
</sst>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2" formatCode="_-* #,##0\ &quot;€&quot;_-;\-* #,##0\ &quot;€&quot;_-;_-* &quot;-&quot;\ &quot;€&quot;_-;_-@_-"/>
    <numFmt numFmtId="164" formatCode="_(* #,##0_);_(* \(#,##0\);_(* &quot;-&quot;_);_(@_)"/>
    <numFmt numFmtId="165" formatCode="_(* #,##0.00_);_(* \(#,##0.00\);_(* &quot;-&quot;??_);_(@_)"/>
    <numFmt numFmtId="166" formatCode="#,##0.00\ &quot;€&quot;"/>
    <numFmt numFmtId="167" formatCode="0#&quot; &quot;##&quot; &quot;##&quot; &quot;##&quot; &quot;##"/>
    <numFmt numFmtId="168" formatCode="d/m/yy;@"/>
    <numFmt numFmtId="169" formatCode="dd/mm/yy;@"/>
  </numFmts>
  <fonts count="32" x14ac:knownFonts="1">
    <font>
      <sz val="11"/>
      <color theme="4"/>
      <name val="Arial"/>
      <family val="2"/>
      <scheme val="minor"/>
    </font>
    <font>
      <sz val="11"/>
      <color theme="1"/>
      <name val="Arial"/>
      <family val="2"/>
      <scheme val="minor"/>
    </font>
    <font>
      <sz val="29"/>
      <color theme="5"/>
      <name val="Georgia"/>
      <family val="2"/>
      <scheme val="major"/>
    </font>
    <font>
      <b/>
      <sz val="12"/>
      <color theme="4"/>
      <name val="Arial"/>
      <family val="2"/>
      <scheme val="minor"/>
    </font>
    <font>
      <sz val="15"/>
      <color theme="5"/>
      <name val="Georgia"/>
      <family val="1"/>
      <scheme val="major"/>
    </font>
    <font>
      <sz val="11"/>
      <color theme="4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rgb="FF615A22"/>
      <name val="Arial"/>
      <family val="2"/>
    </font>
    <font>
      <sz val="12"/>
      <color theme="1"/>
      <name val="Bahnschrift SemiCondensed"/>
      <family val="2"/>
    </font>
    <font>
      <b/>
      <sz val="18"/>
      <color theme="1"/>
      <name val="Bahnschrift SemiCondensed"/>
      <family val="2"/>
    </font>
    <font>
      <sz val="20"/>
      <color theme="1"/>
      <name val="Bahnschrift SemiCondensed"/>
      <family val="2"/>
    </font>
    <font>
      <sz val="11"/>
      <color theme="1"/>
      <name val="Bahnschrift SemiCondensed"/>
      <family val="2"/>
    </font>
    <font>
      <sz val="11"/>
      <color theme="4"/>
      <name val="Bahnschrift SemiCondensed"/>
      <family val="2"/>
    </font>
    <font>
      <sz val="15"/>
      <color theme="1"/>
      <name val="Bahnschrift SemiCondensed"/>
      <family val="2"/>
    </font>
    <font>
      <sz val="13"/>
      <color theme="1"/>
      <name val="Bahnschrift SemiCondensed"/>
      <family val="2"/>
    </font>
    <font>
      <b/>
      <sz val="13"/>
      <color theme="1"/>
      <name val="Bahnschrift SemiCondensed"/>
      <family val="2"/>
    </font>
    <font>
      <b/>
      <sz val="11"/>
      <color theme="1"/>
      <name val="Bahnschrift SemiCondensed"/>
      <family val="2"/>
    </font>
    <font>
      <sz val="18"/>
      <color theme="1"/>
      <name val="Bahnschrift SemiCondensed"/>
      <family val="2"/>
    </font>
    <font>
      <b/>
      <sz val="12"/>
      <color theme="1"/>
      <name val="Bahnschrift SemiCondensed"/>
      <family val="2"/>
    </font>
    <font>
      <sz val="11"/>
      <name val="Bahnschrift SemiCondensed"/>
      <family val="2"/>
    </font>
    <font>
      <i/>
      <sz val="15"/>
      <color theme="1"/>
      <name val="Bahnschrift SemiCondensed"/>
      <family val="2"/>
    </font>
    <font>
      <b/>
      <sz val="15"/>
      <color theme="1"/>
      <name val="Bahnschrift SemiCondensed"/>
      <family val="2"/>
    </font>
  </fonts>
  <fills count="3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horizontal="left" wrapText="1"/>
    </xf>
    <xf numFmtId="0" fontId="2" fillId="0" borderId="0" applyNumberFormat="0" applyFill="0" applyBorder="0" applyProtection="0"/>
    <xf numFmtId="0" fontId="3" fillId="0" borderId="0" applyNumberFormat="0" applyFill="0" applyBorder="0" applyProtection="0">
      <alignment horizontal="left"/>
    </xf>
    <xf numFmtId="0" fontId="4" fillId="0" borderId="0" applyNumberFormat="0" applyFill="0" applyBorder="0" applyProtection="0"/>
    <xf numFmtId="0" fontId="5" fillId="0" borderId="0" applyNumberFormat="0" applyFill="0" applyBorder="0" applyProtection="0">
      <alignment horizontal="right" indent="1"/>
    </xf>
    <xf numFmtId="0" fontId="3" fillId="0" borderId="0" applyNumberFormat="0" applyFill="0" applyBorder="0" applyProtection="0"/>
    <xf numFmtId="10" fontId="5" fillId="2" borderId="0" applyFont="0" applyBorder="0" applyAlignment="0" applyProtection="0">
      <alignment horizontal="left"/>
    </xf>
    <xf numFmtId="14" fontId="3" fillId="0" borderId="0" applyFill="0" applyBorder="0">
      <alignment horizontal="left"/>
    </xf>
    <xf numFmtId="166" fontId="5" fillId="2" borderId="0" applyFont="0" applyBorder="0" applyAlignment="0" applyProtection="0">
      <alignment horizontal="left"/>
    </xf>
    <xf numFmtId="0" fontId="5" fillId="0" borderId="0">
      <alignment horizontal="left" wrapText="1"/>
    </xf>
    <xf numFmtId="0" fontId="5" fillId="0" borderId="0">
      <alignment horizontal="left" vertical="top" wrapText="1"/>
    </xf>
    <xf numFmtId="167" fontId="5" fillId="0" borderId="0" applyFont="0" applyFill="0" applyBorder="0" applyAlignment="0">
      <alignment horizontal="left"/>
    </xf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1" applyNumberFormat="0" applyAlignment="0" applyProtection="0"/>
    <xf numFmtId="0" fontId="10" fillId="7" borderId="2" applyNumberFormat="0" applyAlignment="0" applyProtection="0"/>
    <xf numFmtId="0" fontId="11" fillId="7" borderId="1" applyNumberFormat="0" applyAlignment="0" applyProtection="0"/>
    <xf numFmtId="0" fontId="12" fillId="0" borderId="3" applyNumberFormat="0" applyFill="0" applyAlignment="0" applyProtection="0"/>
    <xf numFmtId="0" fontId="13" fillId="8" borderId="4" applyNumberFormat="0" applyAlignment="0" applyProtection="0"/>
    <xf numFmtId="0" fontId="14" fillId="0" borderId="0" applyNumberFormat="0" applyFill="0" applyBorder="0" applyAlignment="0" applyProtection="0"/>
    <xf numFmtId="0" fontId="5" fillId="9" borderId="5" applyNumberFormat="0" applyFont="0" applyAlignment="0" applyProtection="0"/>
    <xf numFmtId="0" fontId="15" fillId="0" borderId="6" applyNumberFormat="0" applyFill="0" applyAlignment="0" applyProtection="0"/>
    <xf numFmtId="0" fontId="16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6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6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6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6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6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0">
    <xf numFmtId="0" fontId="0" fillId="0" borderId="0" xfId="0">
      <alignment horizontal="left" wrapText="1"/>
    </xf>
    <xf numFmtId="14" fontId="0" fillId="0" borderId="0" xfId="0" applyNumberFormat="1">
      <alignment horizontal="left" wrapText="1"/>
    </xf>
    <xf numFmtId="0" fontId="19" fillId="0" borderId="0" xfId="2" applyFont="1" applyAlignment="1">
      <alignment horizontal="left" vertical="top" wrapText="1"/>
    </xf>
    <xf numFmtId="0" fontId="20" fillId="0" borderId="0" xfId="2" applyFont="1">
      <alignment horizontal="left"/>
    </xf>
    <xf numFmtId="0" fontId="21" fillId="0" borderId="0" xfId="0" applyFont="1">
      <alignment horizontal="left" wrapText="1"/>
    </xf>
    <xf numFmtId="0" fontId="22" fillId="0" borderId="0" xfId="0" applyFont="1">
      <alignment horizontal="left" wrapText="1"/>
    </xf>
    <xf numFmtId="14" fontId="21" fillId="0" borderId="0" xfId="0" applyNumberFormat="1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0" borderId="0" xfId="3" applyFont="1"/>
    <xf numFmtId="0" fontId="24" fillId="0" borderId="0" xfId="0" applyFont="1" applyAlignment="1">
      <alignment horizontal="left" wrapText="1"/>
    </xf>
    <xf numFmtId="0" fontId="24" fillId="0" borderId="0" xfId="0" applyFont="1">
      <alignment horizontal="left" wrapText="1"/>
    </xf>
    <xf numFmtId="168" fontId="24" fillId="0" borderId="0" xfId="0" applyNumberFormat="1" applyFont="1" applyAlignment="1">
      <alignment horizontal="left" wrapText="1"/>
    </xf>
    <xf numFmtId="0" fontId="25" fillId="0" borderId="0" xfId="3" applyFont="1" applyAlignment="1">
      <alignment horizontal="left" vertical="top" wrapText="1"/>
    </xf>
    <xf numFmtId="169" fontId="24" fillId="0" borderId="0" xfId="0" applyNumberFormat="1" applyFont="1" applyAlignment="1">
      <alignment horizontal="left" vertical="center" wrapText="1" indent="8"/>
    </xf>
    <xf numFmtId="0" fontId="27" fillId="0" borderId="0" xfId="0" applyFont="1">
      <alignment horizontal="left" wrapText="1"/>
    </xf>
    <xf numFmtId="0" fontId="28" fillId="0" borderId="0" xfId="5" applyFont="1"/>
    <xf numFmtId="0" fontId="28" fillId="0" borderId="0" xfId="5" applyFont="1" applyFill="1" applyBorder="1"/>
    <xf numFmtId="0" fontId="18" fillId="0" borderId="0" xfId="0" applyFont="1">
      <alignment horizontal="left" wrapText="1"/>
    </xf>
    <xf numFmtId="166" fontId="18" fillId="2" borderId="0" xfId="8" applyFont="1" applyBorder="1">
      <alignment horizontal="left"/>
    </xf>
    <xf numFmtId="14" fontId="18" fillId="0" borderId="0" xfId="0" applyNumberFormat="1" applyFont="1">
      <alignment horizontal="left" wrapText="1"/>
    </xf>
    <xf numFmtId="166" fontId="29" fillId="2" borderId="0" xfId="8" applyFont="1" applyAlignment="1">
      <alignment horizontal="left" wrapText="1"/>
    </xf>
    <xf numFmtId="0" fontId="18" fillId="0" borderId="0" xfId="0" applyFont="1" applyAlignment="1">
      <alignment horizontal="left" wrapText="1"/>
    </xf>
    <xf numFmtId="0" fontId="18" fillId="0" borderId="0" xfId="0" applyFont="1" applyAlignment="1">
      <alignment horizontal="right" wrapText="1"/>
    </xf>
    <xf numFmtId="0" fontId="18" fillId="0" borderId="0" xfId="4" applyFont="1">
      <alignment horizontal="right" indent="1"/>
    </xf>
    <xf numFmtId="166" fontId="28" fillId="2" borderId="0" xfId="8" applyFont="1">
      <alignment horizontal="left"/>
    </xf>
    <xf numFmtId="166" fontId="18" fillId="2" borderId="0" xfId="8" applyFont="1">
      <alignment horizontal="left"/>
    </xf>
    <xf numFmtId="0" fontId="18" fillId="0" borderId="0" xfId="4" applyFont="1" applyAlignment="1">
      <alignment horizontal="left" indent="1"/>
    </xf>
    <xf numFmtId="0" fontId="18" fillId="0" borderId="0" xfId="9" applyFont="1" applyAlignment="1">
      <alignment horizontal="left" wrapText="1" indent="1"/>
    </xf>
    <xf numFmtId="0" fontId="18" fillId="0" borderId="0" xfId="9" applyFont="1">
      <alignment horizontal="left" wrapText="1"/>
    </xf>
    <xf numFmtId="0" fontId="21" fillId="0" borderId="0" xfId="9" applyFont="1">
      <alignment horizontal="left" wrapText="1"/>
    </xf>
    <xf numFmtId="0" fontId="31" fillId="0" borderId="0" xfId="5" applyFont="1" applyAlignment="1">
      <alignment horizontal="left"/>
    </xf>
    <xf numFmtId="0" fontId="30" fillId="0" borderId="0" xfId="9" applyFont="1">
      <alignment horizontal="left" wrapText="1"/>
    </xf>
    <xf numFmtId="0" fontId="24" fillId="0" borderId="0" xfId="3" applyFont="1" applyAlignment="1">
      <alignment horizontal="center"/>
    </xf>
    <xf numFmtId="0" fontId="18" fillId="0" borderId="0" xfId="3" applyFont="1" applyAlignment="1">
      <alignment horizontal="center" vertical="top"/>
    </xf>
    <xf numFmtId="0" fontId="28" fillId="0" borderId="0" xfId="3" applyFont="1" applyAlignment="1">
      <alignment horizontal="left" vertical="center" wrapText="1"/>
    </xf>
    <xf numFmtId="14" fontId="22" fillId="0" borderId="0" xfId="0" applyNumberFormat="1" applyFont="1">
      <alignment horizontal="left" wrapText="1"/>
    </xf>
    <xf numFmtId="0" fontId="25" fillId="0" borderId="0" xfId="3" applyFont="1" applyAlignment="1">
      <alignment vertical="top" wrapText="1"/>
    </xf>
    <xf numFmtId="167" fontId="26" fillId="0" borderId="0" xfId="11" applyFont="1" applyAlignment="1">
      <alignment horizontal="center"/>
    </xf>
    <xf numFmtId="0" fontId="21" fillId="0" borderId="0" xfId="0" applyFont="1" applyAlignment="1">
      <alignment horizontal="center" wrapText="1"/>
    </xf>
    <xf numFmtId="14" fontId="26" fillId="0" borderId="0" xfId="3" applyNumberFormat="1" applyFont="1" applyAlignment="1">
      <alignment horizontal="left" wrapText="1"/>
    </xf>
  </cellXfs>
  <cellStyles count="50">
    <cellStyle name="20 % - Accent1" xfId="27" builtinId="30" customBuiltin="1"/>
    <cellStyle name="20 % - Accent2" xfId="31" builtinId="34" customBuiltin="1"/>
    <cellStyle name="20 % - Accent3" xfId="35" builtinId="38" customBuiltin="1"/>
    <cellStyle name="20 % - Accent4" xfId="39" builtinId="42" customBuiltin="1"/>
    <cellStyle name="20 % - Accent5" xfId="43" builtinId="46" customBuiltin="1"/>
    <cellStyle name="20 % - Accent6" xfId="47" builtinId="50" customBuiltin="1"/>
    <cellStyle name="40 % - Accent1" xfId="28" builtinId="31" customBuiltin="1"/>
    <cellStyle name="40 % - Accent2" xfId="32" builtinId="35" customBuiltin="1"/>
    <cellStyle name="40 % - Accent3" xfId="36" builtinId="39" customBuiltin="1"/>
    <cellStyle name="40 % - Accent4" xfId="40" builtinId="43" customBuiltin="1"/>
    <cellStyle name="40 % - Accent5" xfId="44" builtinId="47" customBuiltin="1"/>
    <cellStyle name="40 % - Accent6" xfId="48" builtinId="51" customBuiltin="1"/>
    <cellStyle name="60 % - Accent1" xfId="29" builtinId="32" customBuiltin="1"/>
    <cellStyle name="60 % - Accent2" xfId="33" builtinId="36" customBuiltin="1"/>
    <cellStyle name="60 % - Accent3" xfId="37" builtinId="40" customBuiltin="1"/>
    <cellStyle name="60 % - Accent4" xfId="41" builtinId="44" customBuiltin="1"/>
    <cellStyle name="60 % - Accent5" xfId="45" builtinId="48" customBuiltin="1"/>
    <cellStyle name="60 % - Accent6" xfId="49" builtinId="52" customBuiltin="1"/>
    <cellStyle name="Accent1" xfId="26" builtinId="29" customBuiltin="1"/>
    <cellStyle name="Accent2" xfId="30" builtinId="33" customBuiltin="1"/>
    <cellStyle name="Accent3" xfId="34" builtinId="37" customBuiltin="1"/>
    <cellStyle name="Accent4" xfId="38" builtinId="41" customBuiltin="1"/>
    <cellStyle name="Accent5" xfId="42" builtinId="45" customBuiltin="1"/>
    <cellStyle name="Accent6" xfId="46" builtinId="49" customBuiltin="1"/>
    <cellStyle name="Avertissement" xfId="23" builtinId="11" customBuiltin="1"/>
    <cellStyle name="Calcul" xfId="20" builtinId="22" customBuiltin="1"/>
    <cellStyle name="Cellule liée" xfId="21" builtinId="24" customBuiltin="1"/>
    <cellStyle name="Commentaire" xfId="24" builtinId="10" customBuiltin="1"/>
    <cellStyle name="Date" xfId="7"/>
    <cellStyle name="Description du produit" xfId="10"/>
    <cellStyle name="Entrée" xfId="18" builtinId="20" customBuiltin="1"/>
    <cellStyle name="Insatisfaisant" xfId="16" builtinId="27" customBuiltin="1"/>
    <cellStyle name="Milliers" xfId="12" builtinId="3" customBuiltin="1"/>
    <cellStyle name="Milliers [0]" xfId="13" builtinId="6" customBuiltin="1"/>
    <cellStyle name="Monétaire" xfId="8" builtinId="4" customBuiltin="1"/>
    <cellStyle name="Monétaire [0]" xfId="14" builtinId="7" customBuiltin="1"/>
    <cellStyle name="Neutre" xfId="17" builtinId="28" customBuiltin="1"/>
    <cellStyle name="Normal" xfId="0" builtinId="0" customBuiltin="1"/>
    <cellStyle name="Pourcentage" xfId="6" builtinId="5" customBuiltin="1"/>
    <cellStyle name="Satisfaisant" xfId="15" builtinId="26" customBuiltin="1"/>
    <cellStyle name="Sortie" xfId="19" builtinId="21" customBuiltin="1"/>
    <cellStyle name="Téléphone" xfId="11"/>
    <cellStyle name="Texte explicatif" xfId="9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25" builtinId="25" customBuiltin="1"/>
    <cellStyle name="Vérification" xfId="22" builtinId="23" customBuiltin="1"/>
  </cellStyles>
  <dxfs count="12">
    <dxf>
      <font>
        <strike val="0"/>
        <outline val="0"/>
        <shadow val="0"/>
        <u val="none"/>
        <vertAlign val="baseline"/>
        <sz val="12"/>
        <color theme="1"/>
        <name val="Bahnschrift SemiCondense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hnschrift SemiCondensed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ahnschrift SemiCondensed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ahnschrift SemiCondensed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ahnschrift SemiCondensed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ahnschrift SemiCondensed"/>
        <scheme val="none"/>
      </font>
    </dxf>
    <dxf>
      <font>
        <b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4"/>
      </font>
      <fill>
        <patternFill>
          <bgColor theme="2"/>
        </patternFill>
      </fill>
    </dxf>
    <dxf>
      <font>
        <b/>
        <i val="0"/>
        <color theme="4"/>
      </font>
      <border>
        <bottom style="thin">
          <color theme="4" tint="0.39994506668294322"/>
        </bottom>
      </border>
    </dxf>
    <dxf>
      <font>
        <b/>
        <i val="0"/>
        <color theme="4"/>
      </font>
      <border>
        <bottom style="thin">
          <color theme="0"/>
        </bottom>
      </border>
    </dxf>
    <dxf>
      <font>
        <b val="0"/>
        <i val="0"/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</dxfs>
  <tableStyles count="1" defaultPivotStyle="PivotStyleLight16">
    <tableStyle name="Facture" pivot="0" count="6">
      <tableStyleElement type="wholeTable" dxfId="11"/>
      <tableStyleElement type="headerRow" dxfId="10"/>
      <tableStyleElement type="totalRow" dxfId="9"/>
      <tableStyleElement type="lastColumn" dxfId="8"/>
      <tableStyleElement type="lastHeaderCell" dxfId="7"/>
      <tableStyleElement type="lastTotalCell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23</xdr:row>
      <xdr:rowOff>49530</xdr:rowOff>
    </xdr:from>
    <xdr:to>
      <xdr:col>1</xdr:col>
      <xdr:colOff>2162175</xdr:colOff>
      <xdr:row>24</xdr:row>
      <xdr:rowOff>342900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8326755"/>
          <a:ext cx="2247900" cy="674370"/>
        </a:xfrm>
        <a:prstGeom prst="rect">
          <a:avLst/>
        </a:prstGeom>
      </xdr:spPr>
    </xdr:pic>
    <xdr:clientData/>
  </xdr:twoCellAnchor>
  <xdr:oneCellAnchor>
    <xdr:from>
      <xdr:col>1</xdr:col>
      <xdr:colOff>2247900</xdr:colOff>
      <xdr:row>7</xdr:row>
      <xdr:rowOff>352425</xdr:rowOff>
    </xdr:from>
    <xdr:ext cx="184731" cy="254557"/>
    <xdr:sp macro="" textlink="">
      <xdr:nvSpPr>
        <xdr:cNvPr id="3" name="ZoneTexte 2"/>
        <xdr:cNvSpPr txBox="1"/>
      </xdr:nvSpPr>
      <xdr:spPr>
        <a:xfrm>
          <a:off x="2638425" y="3495675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76200</xdr:rowOff>
        </xdr:from>
        <xdr:to>
          <xdr:col>3</xdr:col>
          <xdr:colOff>1381125</xdr:colOff>
          <xdr:row>1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615A22"/>
                  </a:solidFill>
                  <a:latin typeface="Arial"/>
                  <a:cs typeface="Arial"/>
                </a:rPr>
                <a:t>Nouveau Devis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DétailsFacture" displayName="DétailsFacture" ref="B12:D20" headerRowDxfId="5" dataDxfId="4" totalsRowDxfId="3">
  <autoFilter ref="B12:D20"/>
  <tableColumns count="3">
    <tableColumn id="1" name="Détails" totalsRowLabel="Total" dataDxfId="2"/>
    <tableColumn id="3" name="Nombre" dataDxfId="1"/>
    <tableColumn id="2" name="Montant" totalsRowFunction="sum" dataDxfId="0"/>
  </tableColumns>
  <tableStyleInfo name="Facture" showFirstColumn="0" showLastColumn="1" showRowStripes="1" showColumnStripes="0"/>
  <extLst>
    <ext xmlns:x14="http://schemas.microsoft.com/office/spreadsheetml/2009/9/main" uri="{504A1905-F514-4f6f-8877-14C23A59335A}">
      <x14:table altTextSummary="Tableau détails de facture destiné à recevoir les informations sur les articles de facture notamment une description de chaque élément de la facture et son montant"/>
    </ext>
  </extLst>
</table>
</file>

<file path=xl/theme/theme1.xml><?xml version="1.0" encoding="utf-8"?>
<a:theme xmlns:a="http://schemas.openxmlformats.org/drawingml/2006/main" name="Office Theme">
  <a:themeElements>
    <a:clrScheme name="Sillage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2:G31"/>
  <sheetViews>
    <sheetView showGridLines="0" tabSelected="1" topLeftCell="A4" zoomScaleNormal="100" workbookViewId="0">
      <selection activeCell="B10" sqref="B10"/>
    </sheetView>
  </sheetViews>
  <sheetFormatPr baseColWidth="10" defaultColWidth="9" defaultRowHeight="30" customHeight="1" x14ac:dyDescent="0.2"/>
  <cols>
    <col min="1" max="1" width="5.125" style="5" customWidth="1"/>
    <col min="2" max="2" width="42.875" style="5" customWidth="1"/>
    <col min="3" max="3" width="9.375" style="5" customWidth="1"/>
    <col min="4" max="4" width="31.5" style="5" customWidth="1"/>
    <col min="5" max="5" width="11.125" style="5" bestFit="1" customWidth="1"/>
    <col min="6" max="16384" width="9" style="5"/>
  </cols>
  <sheetData>
    <row r="2" spans="2:7" ht="67.5" customHeight="1" x14ac:dyDescent="0.35">
      <c r="B2" s="2" t="s">
        <v>15</v>
      </c>
      <c r="C2" s="3"/>
      <c r="D2" s="4"/>
      <c r="E2" s="4"/>
      <c r="F2" s="4"/>
    </row>
    <row r="3" spans="2:7" ht="30" customHeight="1" x14ac:dyDescent="0.25">
      <c r="B3" s="6"/>
      <c r="C3" s="7"/>
      <c r="D3" s="8"/>
      <c r="E3" s="4"/>
      <c r="F3" s="4"/>
    </row>
    <row r="4" spans="2:7" ht="24" customHeight="1" x14ac:dyDescent="0.25">
      <c r="B4" s="9" t="s">
        <v>1</v>
      </c>
      <c r="C4" s="9"/>
      <c r="D4" s="32" t="s">
        <v>20</v>
      </c>
      <c r="E4" s="10"/>
      <c r="F4" s="10"/>
    </row>
    <row r="5" spans="2:7" ht="32.25" customHeight="1" x14ac:dyDescent="0.25">
      <c r="B5" s="9" t="s">
        <v>2</v>
      </c>
      <c r="C5" s="9"/>
      <c r="D5" s="33" t="s">
        <v>23</v>
      </c>
      <c r="E5" s="10"/>
      <c r="F5" s="10"/>
    </row>
    <row r="6" spans="2:7" ht="30" customHeight="1" x14ac:dyDescent="0.25">
      <c r="B6" s="9" t="s">
        <v>3</v>
      </c>
      <c r="C6" s="9"/>
      <c r="D6" s="36" t="s">
        <v>24</v>
      </c>
      <c r="E6" s="10"/>
      <c r="F6" s="10"/>
    </row>
    <row r="7" spans="2:7" ht="30" customHeight="1" x14ac:dyDescent="0.25">
      <c r="B7" s="9" t="s">
        <v>4</v>
      </c>
      <c r="C7" s="9"/>
      <c r="D7" s="36"/>
      <c r="E7" s="10"/>
      <c r="F7" s="10"/>
    </row>
    <row r="8" spans="2:7" ht="30" customHeight="1" x14ac:dyDescent="0.25">
      <c r="B8" s="9" t="s">
        <v>5</v>
      </c>
      <c r="C8" s="9"/>
      <c r="D8" s="36"/>
      <c r="E8" s="10"/>
      <c r="F8" s="10"/>
    </row>
    <row r="9" spans="2:7" ht="20.25" customHeight="1" x14ac:dyDescent="0.25">
      <c r="B9" s="11"/>
      <c r="C9" s="9"/>
      <c r="D9" s="36"/>
      <c r="E9" s="12"/>
      <c r="F9" s="4"/>
      <c r="G9" s="4"/>
    </row>
    <row r="10" spans="2:7" ht="20.25" customHeight="1" x14ac:dyDescent="0.2">
      <c r="B10" s="35">
        <f ca="1">TODAY()</f>
        <v>44501</v>
      </c>
      <c r="C10" s="38" t="s">
        <v>22</v>
      </c>
      <c r="D10" s="39">
        <v>44520</v>
      </c>
      <c r="E10" s="12"/>
      <c r="F10" s="4"/>
      <c r="G10" s="4"/>
    </row>
    <row r="11" spans="2:7" ht="18" customHeight="1" x14ac:dyDescent="0.3">
      <c r="B11" s="13"/>
      <c r="C11" s="37" t="s">
        <v>19</v>
      </c>
      <c r="D11" s="34">
        <v>32</v>
      </c>
      <c r="E11" s="14"/>
      <c r="F11" s="4"/>
    </row>
    <row r="12" spans="2:7" ht="30" customHeight="1" x14ac:dyDescent="0.2">
      <c r="B12" s="15" t="s">
        <v>0</v>
      </c>
      <c r="C12" s="15" t="s">
        <v>9</v>
      </c>
      <c r="D12" s="16" t="s">
        <v>6</v>
      </c>
      <c r="E12" s="17"/>
      <c r="F12" s="4"/>
    </row>
    <row r="13" spans="2:7" ht="30" customHeight="1" x14ac:dyDescent="0.2">
      <c r="B13" s="15"/>
      <c r="C13" s="15"/>
      <c r="D13" s="16"/>
      <c r="E13" s="17"/>
      <c r="F13" s="4"/>
    </row>
    <row r="14" spans="2:7" ht="27" customHeight="1" x14ac:dyDescent="0.2">
      <c r="B14" s="17" t="s">
        <v>21</v>
      </c>
      <c r="C14" s="17">
        <v>24</v>
      </c>
      <c r="D14" s="18"/>
      <c r="E14" s="19"/>
      <c r="F14" s="4"/>
    </row>
    <row r="15" spans="2:7" ht="19.5" customHeight="1" x14ac:dyDescent="0.2">
      <c r="B15" s="17" t="s">
        <v>10</v>
      </c>
      <c r="C15" s="17"/>
      <c r="D15" s="18">
        <f>(C14*D16)*0.9</f>
        <v>561.6</v>
      </c>
      <c r="E15" s="19"/>
      <c r="F15" s="4"/>
    </row>
    <row r="16" spans="2:7" ht="24" customHeight="1" x14ac:dyDescent="0.2">
      <c r="B16" s="17" t="s">
        <v>11</v>
      </c>
      <c r="C16" s="17"/>
      <c r="D16" s="20">
        <v>26</v>
      </c>
      <c r="E16" s="19"/>
      <c r="F16" s="4"/>
    </row>
    <row r="17" spans="2:6" ht="19.5" customHeight="1" x14ac:dyDescent="0.2">
      <c r="B17" s="17"/>
      <c r="C17" s="17"/>
      <c r="D17" s="18"/>
      <c r="E17" s="19"/>
      <c r="F17" s="4"/>
    </row>
    <row r="18" spans="2:6" ht="19.5" customHeight="1" x14ac:dyDescent="0.2">
      <c r="B18" s="17"/>
      <c r="C18" s="17"/>
      <c r="D18" s="18"/>
      <c r="E18" s="17"/>
      <c r="F18" s="4"/>
    </row>
    <row r="19" spans="2:6" ht="30" customHeight="1" x14ac:dyDescent="0.2">
      <c r="B19" s="21" t="s">
        <v>12</v>
      </c>
      <c r="C19" s="22"/>
      <c r="D19" s="18">
        <f>(C14*D16)/10</f>
        <v>62.4</v>
      </c>
      <c r="E19" s="17"/>
      <c r="F19" s="4"/>
    </row>
    <row r="20" spans="2:6" ht="30" customHeight="1" x14ac:dyDescent="0.2">
      <c r="B20" s="23" t="s">
        <v>7</v>
      </c>
      <c r="C20" s="23"/>
      <c r="D20" s="24">
        <f>(D15+D19)-(D17+D18)</f>
        <v>624</v>
      </c>
      <c r="E20" s="17"/>
      <c r="F20" s="4"/>
    </row>
    <row r="21" spans="2:6" ht="30" customHeight="1" x14ac:dyDescent="0.2">
      <c r="B21" s="23"/>
      <c r="C21" s="23"/>
      <c r="D21" s="25"/>
      <c r="E21" s="19"/>
      <c r="F21" s="4"/>
    </row>
    <row r="22" spans="2:6" ht="30" customHeight="1" x14ac:dyDescent="0.2">
      <c r="B22" s="26" t="s">
        <v>18</v>
      </c>
      <c r="C22" s="28"/>
      <c r="D22" s="29"/>
      <c r="E22" s="4"/>
      <c r="F22" s="4"/>
    </row>
    <row r="23" spans="2:6" ht="30" customHeight="1" x14ac:dyDescent="0.25">
      <c r="B23" s="27" t="s">
        <v>8</v>
      </c>
      <c r="C23" s="31"/>
      <c r="D23" s="31"/>
      <c r="E23" s="4"/>
      <c r="F23" s="4"/>
    </row>
    <row r="24" spans="2:6" ht="30" customHeight="1" x14ac:dyDescent="0.25">
      <c r="B24" s="30"/>
      <c r="C24" s="30"/>
      <c r="D24" s="4"/>
      <c r="E24" s="4"/>
      <c r="F24" s="4"/>
    </row>
    <row r="25" spans="2:6" ht="30" customHeight="1" x14ac:dyDescent="0.2">
      <c r="B25" s="4"/>
      <c r="C25" s="4"/>
      <c r="D25" s="4"/>
      <c r="E25" s="4"/>
      <c r="F25" s="4"/>
    </row>
    <row r="26" spans="2:6" ht="30" customHeight="1" x14ac:dyDescent="0.2">
      <c r="B26" s="4"/>
      <c r="C26" s="4"/>
      <c r="D26" s="4"/>
      <c r="E26" s="4"/>
      <c r="F26" s="4"/>
    </row>
    <row r="27" spans="2:6" ht="30" customHeight="1" x14ac:dyDescent="0.2">
      <c r="B27" s="4"/>
      <c r="C27" s="4"/>
      <c r="D27" s="4"/>
      <c r="E27" s="4"/>
      <c r="F27" s="4"/>
    </row>
    <row r="28" spans="2:6" ht="30" customHeight="1" x14ac:dyDescent="0.2">
      <c r="B28" s="4"/>
      <c r="C28" s="4"/>
      <c r="D28" s="4"/>
      <c r="E28" s="4"/>
      <c r="F28" s="4"/>
    </row>
    <row r="29" spans="2:6" ht="30" customHeight="1" x14ac:dyDescent="0.2">
      <c r="B29" s="4"/>
      <c r="C29" s="4"/>
      <c r="D29" s="4"/>
      <c r="E29" s="4"/>
      <c r="F29" s="4"/>
    </row>
    <row r="30" spans="2:6" ht="30" customHeight="1" x14ac:dyDescent="0.2">
      <c r="B30" s="4"/>
      <c r="C30" s="4"/>
      <c r="D30" s="4"/>
      <c r="E30" s="4"/>
      <c r="F30" s="4"/>
    </row>
    <row r="31" spans="2:6" ht="30" customHeight="1" x14ac:dyDescent="0.2">
      <c r="B31" s="4"/>
      <c r="C31" s="4"/>
      <c r="D31" s="4"/>
      <c r="E31" s="4"/>
      <c r="F31" s="4"/>
    </row>
  </sheetData>
  <mergeCells count="1">
    <mergeCell ref="D6:D9"/>
  </mergeCells>
  <printOptions horizontalCentered="1"/>
  <pageMargins left="0.4" right="0.4" top="0.4" bottom="0.4" header="0.3" footer="0.3"/>
  <pageSetup paperSize="9" scale="98" fitToHeight="0" orientation="portrait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3</xdr:col>
                    <xdr:colOff>9525</xdr:colOff>
                    <xdr:row>1</xdr:row>
                    <xdr:rowOff>76200</xdr:rowOff>
                  </from>
                  <to>
                    <xdr:col>3</xdr:col>
                    <xdr:colOff>1381125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Data!$A$1:$A$5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22"/>
  <sheetViews>
    <sheetView workbookViewId="0">
      <selection activeCell="B10" sqref="B10"/>
    </sheetView>
  </sheetViews>
  <sheetFormatPr baseColWidth="10" defaultRowHeight="14.25" x14ac:dyDescent="0.2"/>
  <cols>
    <col min="1" max="1" width="44.5" customWidth="1"/>
    <col min="2" max="2" width="11" customWidth="1"/>
  </cols>
  <sheetData>
    <row r="1" spans="1:11" x14ac:dyDescent="0.2">
      <c r="A1" t="s">
        <v>13</v>
      </c>
    </row>
    <row r="2" spans="1:11" x14ac:dyDescent="0.2">
      <c r="A2" t="s">
        <v>14</v>
      </c>
      <c r="K2" s="1"/>
    </row>
    <row r="3" spans="1:11" x14ac:dyDescent="0.2">
      <c r="A3" t="s">
        <v>15</v>
      </c>
    </row>
    <row r="4" spans="1:11" x14ac:dyDescent="0.2">
      <c r="A4" t="s">
        <v>16</v>
      </c>
    </row>
    <row r="5" spans="1:11" x14ac:dyDescent="0.2">
      <c r="A5" t="s">
        <v>17</v>
      </c>
    </row>
    <row r="8" spans="1:11" x14ac:dyDescent="0.2">
      <c r="A8" s="1"/>
    </row>
    <row r="10" spans="1:11" x14ac:dyDescent="0.2">
      <c r="B10" s="1">
        <v>44489</v>
      </c>
    </row>
    <row r="11" spans="1:11" x14ac:dyDescent="0.2">
      <c r="B11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Devis</vt:lpstr>
      <vt:lpstr>Data</vt:lpstr>
      <vt:lpstr>Devis!Impression_des_titres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</dc:creator>
  <cp:lastModifiedBy>PA</cp:lastModifiedBy>
  <cp:lastPrinted>2021-10-21T00:21:28Z</cp:lastPrinted>
  <dcterms:created xsi:type="dcterms:W3CDTF">2017-02-03T09:12:23Z</dcterms:created>
  <dcterms:modified xsi:type="dcterms:W3CDTF">2021-11-01T19:46:45Z</dcterms:modified>
</cp:coreProperties>
</file>